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 - FILTRACION Y ANALISIS S.A.S\Documentos\Planeación estratégica FyA\"/>
    </mc:Choice>
  </mc:AlternateContent>
  <bookViews>
    <workbookView xWindow="0" yWindow="0" windowWidth="19200" windowHeight="6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C26" i="1"/>
  <c r="D26" i="1"/>
  <c r="E26" i="1"/>
  <c r="F26" i="1"/>
  <c r="G26" i="1"/>
  <c r="H26" i="1"/>
  <c r="B26" i="1"/>
  <c r="H22" i="1"/>
  <c r="C7" i="1"/>
  <c r="D7" i="1"/>
  <c r="E7" i="1"/>
  <c r="F7" i="1"/>
  <c r="G7" i="1"/>
  <c r="H7" i="1"/>
  <c r="J7" i="1"/>
  <c r="B7" i="1"/>
</calcChain>
</file>

<file path=xl/sharedStrings.xml><?xml version="1.0" encoding="utf-8"?>
<sst xmlns="http://schemas.openxmlformats.org/spreadsheetml/2006/main" count="23" uniqueCount="23">
  <si>
    <t>ENERO</t>
  </si>
  <si>
    <t>FEBRERO</t>
  </si>
  <si>
    <t>MARZO</t>
  </si>
  <si>
    <t>ABRIL</t>
  </si>
  <si>
    <t>MAYO</t>
  </si>
  <si>
    <t>JUNIO</t>
  </si>
  <si>
    <t>ACUMULADO</t>
  </si>
  <si>
    <t>2025</t>
  </si>
  <si>
    <t>VARIACION</t>
  </si>
  <si>
    <t>VENTAS NETAS</t>
  </si>
  <si>
    <t>MENOS COSTO DE MERCANCIA VENDIDA</t>
  </si>
  <si>
    <t>UTILIDAD BRUTA EN VENTAS</t>
  </si>
  <si>
    <t>MARGEN BRUTO</t>
  </si>
  <si>
    <t>MENOS GASTOS OPERACIONALES</t>
  </si>
  <si>
    <t>DE ADMINISTRACION</t>
  </si>
  <si>
    <t>DE VENTAS</t>
  </si>
  <si>
    <t>TOTAL GASTOS OPERACIONALES</t>
  </si>
  <si>
    <t>UTILIDAD OPERACIONAL</t>
  </si>
  <si>
    <t>MARGEN OPERACIONAL</t>
  </si>
  <si>
    <t>TOTAL OTROS INGRESOS</t>
  </si>
  <si>
    <t>TOTAL OTROS GASTOS</t>
  </si>
  <si>
    <t>UTILIDAD NETA ANTES DE IMPUESTOS</t>
  </si>
  <si>
    <t>MARGEN NETO ANTES DE 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</si>
</sst>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3" fillId="0" borderId="0" xfId="0" applyNumberFormat="1" applyFont="1" applyAlignment="1">
      <alignment horizontal="center"/>
    </xf>
    <xf numFmtId="10" fontId="0" fillId="0" borderId="0" xfId="0" applyNumberFormat="1"/>
    <xf numFmtId="49" fontId="3" fillId="0" borderId="0" xfId="1" applyNumberFormat="1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164" fontId="2" fillId="0" borderId="0" xfId="2" applyNumberFormat="1" applyFont="1"/>
    <xf numFmtId="9" fontId="3" fillId="0" borderId="0" xfId="2" applyFont="1"/>
    <xf numFmtId="164" fontId="3" fillId="0" borderId="0" xfId="2" applyNumberFormat="1" applyFont="1"/>
    <xf numFmtId="10" fontId="3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workbookViewId="0">
      <selection activeCell="J2" sqref="J2"/>
    </sheetView>
  </sheetViews>
  <sheetFormatPr baseColWidth="10" defaultRowHeight="14.25" x14ac:dyDescent="0.65"/>
  <cols>
    <col min="1" max="1" width="37.58984375" bestFit="1" customWidth="1"/>
    <col min="7" max="7" width="8.6796875" bestFit="1" customWidth="1"/>
    <col min="8" max="8" width="12.40625" bestFit="1" customWidth="1"/>
    <col min="10" max="10" width="8.6796875" bestFit="1" customWidth="1"/>
  </cols>
  <sheetData>
    <row r="1" spans="1:17" x14ac:dyDescent="0.6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3" t="s">
        <v>7</v>
      </c>
      <c r="K1" s="4" t="s">
        <v>8</v>
      </c>
    </row>
    <row r="2" spans="1:17" x14ac:dyDescent="0.65">
      <c r="A2" s="5" t="s">
        <v>9</v>
      </c>
      <c r="B2" s="6">
        <v>352225</v>
      </c>
      <c r="C2" s="6">
        <v>702450</v>
      </c>
      <c r="D2" s="6">
        <v>828493</v>
      </c>
      <c r="E2" s="6">
        <v>927868</v>
      </c>
      <c r="F2" s="6">
        <v>893506</v>
      </c>
      <c r="G2" s="6">
        <v>1109648</v>
      </c>
      <c r="H2" s="6">
        <v>4814190</v>
      </c>
      <c r="I2" s="6"/>
      <c r="J2" s="6">
        <v>4814190</v>
      </c>
      <c r="K2" s="6"/>
      <c r="L2" s="6"/>
      <c r="M2" s="6"/>
      <c r="N2" s="6"/>
      <c r="P2" s="7"/>
      <c r="Q2">
        <v>4861121</v>
      </c>
    </row>
    <row r="3" spans="1:17" x14ac:dyDescent="0.65">
      <c r="A3" s="5" t="s">
        <v>10</v>
      </c>
      <c r="B3" s="6">
        <v>262002</v>
      </c>
      <c r="C3" s="6">
        <v>558610</v>
      </c>
      <c r="D3" s="6">
        <v>593839</v>
      </c>
      <c r="E3" s="6">
        <v>684568</v>
      </c>
      <c r="F3" s="6">
        <v>638075</v>
      </c>
      <c r="G3" s="6">
        <v>791991</v>
      </c>
      <c r="H3" s="6">
        <v>3529085</v>
      </c>
      <c r="I3" s="6"/>
      <c r="J3" s="6">
        <v>3568145</v>
      </c>
      <c r="K3" s="6"/>
    </row>
    <row r="5" spans="1:17" x14ac:dyDescent="0.65">
      <c r="A5" s="5" t="s">
        <v>11</v>
      </c>
      <c r="B5" s="6">
        <v>90223</v>
      </c>
      <c r="C5" s="6">
        <v>143840</v>
      </c>
      <c r="D5" s="6">
        <v>234654</v>
      </c>
      <c r="E5" s="6">
        <v>243300</v>
      </c>
      <c r="F5" s="6">
        <v>255431</v>
      </c>
      <c r="G5" s="6">
        <v>317657</v>
      </c>
      <c r="H5" s="6">
        <v>1285105</v>
      </c>
      <c r="J5" s="6">
        <v>1292976</v>
      </c>
    </row>
    <row r="7" spans="1:17" x14ac:dyDescent="0.65">
      <c r="A7" s="5" t="s">
        <v>12</v>
      </c>
      <c r="B7" s="8">
        <f>+B5/B2</f>
        <v>0.25615160763716377</v>
      </c>
      <c r="C7" s="8">
        <f t="shared" ref="C7:J7" si="0">+C5/C2</f>
        <v>0.20476902270624245</v>
      </c>
      <c r="D7" s="8">
        <f t="shared" si="0"/>
        <v>0.2832299126244881</v>
      </c>
      <c r="E7" s="8">
        <f t="shared" si="0"/>
        <v>0.26221402182206954</v>
      </c>
      <c r="F7" s="8">
        <f t="shared" si="0"/>
        <v>0.28587496894257003</v>
      </c>
      <c r="G7" s="8">
        <f t="shared" si="0"/>
        <v>0.28626825804218997</v>
      </c>
      <c r="H7" s="8">
        <f t="shared" si="0"/>
        <v>0.26694106381343485</v>
      </c>
      <c r="I7" s="8"/>
      <c r="J7" s="8">
        <f t="shared" si="0"/>
        <v>0.26857602213456472</v>
      </c>
    </row>
    <row r="9" spans="1:17" x14ac:dyDescent="0.65">
      <c r="A9" s="5" t="s">
        <v>13</v>
      </c>
      <c r="B9" s="6">
        <v>79737</v>
      </c>
      <c r="C9" s="6">
        <v>105583</v>
      </c>
      <c r="D9" s="6">
        <v>112760</v>
      </c>
      <c r="E9" s="6">
        <v>113807</v>
      </c>
      <c r="F9" s="6">
        <v>105131</v>
      </c>
      <c r="G9" s="6">
        <v>115453</v>
      </c>
      <c r="H9" s="6">
        <v>632471</v>
      </c>
      <c r="I9" s="6"/>
      <c r="J9" s="6">
        <v>605969</v>
      </c>
    </row>
    <row r="10" spans="1:17" x14ac:dyDescent="0.65">
      <c r="A10" s="5" t="s">
        <v>14</v>
      </c>
    </row>
    <row r="12" spans="1:17" x14ac:dyDescent="0.65">
      <c r="A12" s="5" t="s">
        <v>15</v>
      </c>
      <c r="B12" s="6">
        <v>64639</v>
      </c>
      <c r="C12" s="6">
        <v>104435</v>
      </c>
      <c r="D12" s="6">
        <v>109380</v>
      </c>
      <c r="E12" s="6">
        <v>119676</v>
      </c>
      <c r="F12" s="6">
        <v>120972</v>
      </c>
      <c r="G12" s="6">
        <v>126393</v>
      </c>
      <c r="H12" s="6">
        <v>645495</v>
      </c>
      <c r="I12" s="6"/>
      <c r="J12" s="6">
        <v>581748</v>
      </c>
    </row>
    <row r="14" spans="1:17" x14ac:dyDescent="0.65">
      <c r="A14" s="5" t="s">
        <v>16</v>
      </c>
      <c r="B14" s="6">
        <v>144376</v>
      </c>
      <c r="C14" s="6">
        <v>210018</v>
      </c>
      <c r="D14" s="6">
        <v>222140</v>
      </c>
      <c r="E14" s="6">
        <v>233483</v>
      </c>
      <c r="F14" s="6">
        <v>226103</v>
      </c>
      <c r="G14" s="6">
        <v>241846</v>
      </c>
      <c r="H14" s="6">
        <v>1277966</v>
      </c>
      <c r="J14" s="6">
        <v>1187717</v>
      </c>
    </row>
    <row r="16" spans="1:17" x14ac:dyDescent="0.65">
      <c r="A16" s="6" t="s">
        <v>17</v>
      </c>
      <c r="B16" s="6">
        <v>-54153</v>
      </c>
      <c r="C16" s="6">
        <v>-66178</v>
      </c>
      <c r="D16" s="6">
        <v>12514</v>
      </c>
      <c r="E16" s="6">
        <v>9817</v>
      </c>
      <c r="F16" s="6">
        <v>29328</v>
      </c>
      <c r="G16" s="6">
        <v>75811</v>
      </c>
      <c r="H16" s="6">
        <v>7139</v>
      </c>
      <c r="I16" s="6"/>
      <c r="J16" s="6">
        <v>105259</v>
      </c>
    </row>
    <row r="18" spans="1:10" x14ac:dyDescent="0.65">
      <c r="A18" s="6" t="s">
        <v>18</v>
      </c>
      <c r="B18" s="9">
        <v>-0.15374547519341331</v>
      </c>
      <c r="C18" s="9">
        <v>-9.4210264075734934E-2</v>
      </c>
      <c r="D18" s="9">
        <v>1.5104533170467343E-2</v>
      </c>
      <c r="E18" s="9">
        <v>1.0580168730897068E-2</v>
      </c>
      <c r="F18" s="9">
        <v>3.2823506501355335E-2</v>
      </c>
      <c r="G18" s="9">
        <v>6.8319863596383715E-2</v>
      </c>
      <c r="H18" s="11">
        <v>1.4829078204225425E-3</v>
      </c>
      <c r="I18" s="9"/>
      <c r="J18" s="10">
        <v>2.1653235951131437E-2</v>
      </c>
    </row>
    <row r="20" spans="1:10" x14ac:dyDescent="0.65">
      <c r="A20" s="9" t="s">
        <v>19</v>
      </c>
      <c r="B20" s="6">
        <v>2649</v>
      </c>
      <c r="C20" s="6">
        <v>3732</v>
      </c>
      <c r="D20" s="6">
        <v>5706</v>
      </c>
      <c r="E20" s="6">
        <v>5904</v>
      </c>
      <c r="F20" s="6">
        <v>10540</v>
      </c>
      <c r="G20" s="6">
        <v>8539</v>
      </c>
      <c r="H20" s="6">
        <v>37070</v>
      </c>
      <c r="I20" s="6"/>
      <c r="J20" s="6">
        <v>64253</v>
      </c>
    </row>
    <row r="22" spans="1:10" x14ac:dyDescent="0.65">
      <c r="A22" s="9" t="s">
        <v>20</v>
      </c>
      <c r="B22" s="6">
        <v>1777</v>
      </c>
      <c r="C22" s="6">
        <v>642</v>
      </c>
      <c r="D22" s="6">
        <v>642</v>
      </c>
      <c r="E22" s="6">
        <v>617</v>
      </c>
      <c r="F22" s="6">
        <v>850</v>
      </c>
      <c r="G22" s="6">
        <v>714</v>
      </c>
      <c r="H22" s="6">
        <f>SUM(B22:G22)</f>
        <v>5242</v>
      </c>
      <c r="I22" s="6"/>
      <c r="J22" s="6">
        <v>9408</v>
      </c>
    </row>
    <row r="24" spans="1:10" x14ac:dyDescent="0.65">
      <c r="A24" s="6" t="s">
        <v>21</v>
      </c>
      <c r="B24" s="6">
        <v>-53281</v>
      </c>
      <c r="C24" s="6">
        <v>-63088</v>
      </c>
      <c r="D24" s="6">
        <v>17578</v>
      </c>
      <c r="E24" s="6">
        <v>15104</v>
      </c>
      <c r="F24" s="6">
        <v>39018</v>
      </c>
      <c r="G24" s="6">
        <v>83636</v>
      </c>
      <c r="H24" s="6">
        <v>38967</v>
      </c>
      <c r="J24" s="6">
        <v>102125</v>
      </c>
    </row>
    <row r="26" spans="1:10" x14ac:dyDescent="0.65">
      <c r="A26" s="6" t="s">
        <v>22</v>
      </c>
      <c r="B26" s="8">
        <f>+B24/B2</f>
        <v>-0.15126978493860457</v>
      </c>
      <c r="C26" s="8">
        <f t="shared" ref="C26:J26" si="1">+C24/C2</f>
        <v>-8.9811374475051609E-2</v>
      </c>
      <c r="D26" s="8">
        <f t="shared" si="1"/>
        <v>2.1216835869464195E-2</v>
      </c>
      <c r="E26" s="8">
        <f t="shared" si="1"/>
        <v>1.6278177499385687E-2</v>
      </c>
      <c r="F26" s="8">
        <f t="shared" si="1"/>
        <v>4.3668425281979083E-2</v>
      </c>
      <c r="G26" s="8">
        <f t="shared" si="1"/>
        <v>7.5371649387914005E-2</v>
      </c>
      <c r="H26" s="8">
        <f t="shared" si="1"/>
        <v>8.0941965315037417E-3</v>
      </c>
      <c r="I26" s="8"/>
      <c r="J26" s="8">
        <f t="shared" si="1"/>
        <v>2.1213329760562005E-2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2026-08-11T12:41:02Z</dcterms:created>
  <dcterms:modified xsi:type="dcterms:W3CDTF">2026-08-12T15:04:42Z</dcterms:modified>
</cp:coreProperties>
</file>